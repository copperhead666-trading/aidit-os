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anan Harian" sheetId="1" state="visible" r:id="rId1"/>
    <sheet name="HPP per Menu" sheetId="2" state="visible" r:id="rId2"/>
    <sheet name="Ringkasan Harian" sheetId="3" state="visible" r:id="rId3"/>
    <sheet name="Pengelua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  <font>
      <b val="1"/>
    </font>
    <font>
      <b val="1"/>
      <sz val="16"/>
    </font>
    <font>
      <b val="1"/>
      <color rgb="001F4E79"/>
      <sz val="14"/>
    </font>
    <font>
      <b val="1"/>
      <color rgb="00548235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horizontal="right"/>
    </xf>
    <xf numFmtId="3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/>
    </xf>
    <xf numFmtId="165" fontId="0" fillId="0" borderId="1" pivotButton="0" quotePrefix="0" xfId="0"/>
    <xf numFmtId="0" fontId="5" fillId="0" borderId="0" applyAlignment="1" pivotButton="0" quotePrefix="0" xfId="0">
      <alignment horizontal="center"/>
    </xf>
    <xf numFmtId="3" fontId="6" fillId="0" borderId="0" pivotButton="0" quotePrefix="0" xfId="0"/>
    <xf numFmtId="3" fontId="0" fillId="0" borderId="0" pivotButton="0" quotePrefix="0" xfId="0"/>
    <xf numFmtId="3" fontId="7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5" customWidth="1" min="4" max="4"/>
    <col width="14" customWidth="1" min="5" max="5"/>
    <col width="18" customWidth="1" min="6" max="6"/>
    <col width="20" customWidth="1" min="7" max="7"/>
    <col width="14" customWidth="1" min="8" max="8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Klien/Acara</t>
        </is>
      </c>
      <c r="D1" s="1" t="inlineStr">
        <is>
          <t>Menu</t>
        </is>
      </c>
      <c r="E1" s="1" t="inlineStr">
        <is>
          <t>Jumlah Porsi</t>
        </is>
      </c>
      <c r="F1" s="1" t="inlineStr">
        <is>
          <t>Harga/Porsi (Rp)</t>
        </is>
      </c>
      <c r="G1" s="1" t="inlineStr">
        <is>
          <t>Total (Rp)</t>
        </is>
      </c>
      <c r="H1" s="1" t="inlineStr">
        <is>
          <t>Status Bayar</t>
        </is>
      </c>
    </row>
    <row r="2">
      <c r="A2" s="2" t="n">
        <v>1</v>
      </c>
      <c r="B2" s="3" t="n"/>
      <c r="C2" s="4" t="n"/>
      <c r="D2" s="4" t="n"/>
      <c r="E2" s="4" t="n"/>
      <c r="F2" s="5" t="n"/>
      <c r="G2" s="5">
        <f>IF(AND(E2&lt;&gt;"",F2&lt;&gt;""),E2*F2,"")</f>
        <v/>
      </c>
      <c r="H2" s="4" t="n"/>
    </row>
    <row r="3">
      <c r="A3" s="2" t="n">
        <v>2</v>
      </c>
      <c r="B3" s="3" t="n"/>
      <c r="C3" s="4" t="n"/>
      <c r="D3" s="4" t="n"/>
      <c r="E3" s="4" t="n"/>
      <c r="F3" s="5" t="n"/>
      <c r="G3" s="5">
        <f>IF(AND(E3&lt;&gt;"",F3&lt;&gt;""),E3*F3,"")</f>
        <v/>
      </c>
      <c r="H3" s="4" t="n"/>
    </row>
    <row r="4">
      <c r="A4" s="2" t="n">
        <v>3</v>
      </c>
      <c r="B4" s="3" t="n"/>
      <c r="C4" s="4" t="n"/>
      <c r="D4" s="4" t="n"/>
      <c r="E4" s="4" t="n"/>
      <c r="F4" s="5" t="n"/>
      <c r="G4" s="5">
        <f>IF(AND(E4&lt;&gt;"",F4&lt;&gt;""),E4*F4,"")</f>
        <v/>
      </c>
      <c r="H4" s="4" t="n"/>
    </row>
    <row r="5">
      <c r="A5" s="2" t="n">
        <v>4</v>
      </c>
      <c r="B5" s="3" t="n"/>
      <c r="C5" s="4" t="n"/>
      <c r="D5" s="4" t="n"/>
      <c r="E5" s="4" t="n"/>
      <c r="F5" s="5" t="n"/>
      <c r="G5" s="5">
        <f>IF(AND(E5&lt;&gt;"",F5&lt;&gt;""),E5*F5,"")</f>
        <v/>
      </c>
      <c r="H5" s="4" t="n"/>
    </row>
    <row r="6">
      <c r="A6" s="2" t="n">
        <v>5</v>
      </c>
      <c r="B6" s="3" t="n"/>
      <c r="C6" s="4" t="n"/>
      <c r="D6" s="4" t="n"/>
      <c r="E6" s="4" t="n"/>
      <c r="F6" s="5" t="n"/>
      <c r="G6" s="5">
        <f>IF(AND(E6&lt;&gt;"",F6&lt;&gt;""),E6*F6,"")</f>
        <v/>
      </c>
      <c r="H6" s="4" t="n"/>
    </row>
    <row r="7">
      <c r="A7" s="2" t="n">
        <v>6</v>
      </c>
      <c r="B7" s="3" t="n"/>
      <c r="C7" s="4" t="n"/>
      <c r="D7" s="4" t="n"/>
      <c r="E7" s="4" t="n"/>
      <c r="F7" s="5" t="n"/>
      <c r="G7" s="5">
        <f>IF(AND(E7&lt;&gt;"",F7&lt;&gt;""),E7*F7,"")</f>
        <v/>
      </c>
      <c r="H7" s="4" t="n"/>
    </row>
    <row r="8">
      <c r="A8" s="2" t="n">
        <v>7</v>
      </c>
      <c r="B8" s="3" t="n"/>
      <c r="C8" s="4" t="n"/>
      <c r="D8" s="4" t="n"/>
      <c r="E8" s="4" t="n"/>
      <c r="F8" s="5" t="n"/>
      <c r="G8" s="5">
        <f>IF(AND(E8&lt;&gt;"",F8&lt;&gt;""),E8*F8,"")</f>
        <v/>
      </c>
      <c r="H8" s="4" t="n"/>
    </row>
    <row r="9">
      <c r="A9" s="2" t="n">
        <v>8</v>
      </c>
      <c r="B9" s="3" t="n"/>
      <c r="C9" s="4" t="n"/>
      <c r="D9" s="4" t="n"/>
      <c r="E9" s="4" t="n"/>
      <c r="F9" s="5" t="n"/>
      <c r="G9" s="5">
        <f>IF(AND(E9&lt;&gt;"",F9&lt;&gt;""),E9*F9,"")</f>
        <v/>
      </c>
      <c r="H9" s="4" t="n"/>
    </row>
    <row r="10">
      <c r="A10" s="2" t="n">
        <v>9</v>
      </c>
      <c r="B10" s="3" t="n"/>
      <c r="C10" s="4" t="n"/>
      <c r="D10" s="4" t="n"/>
      <c r="E10" s="4" t="n"/>
      <c r="F10" s="5" t="n"/>
      <c r="G10" s="5">
        <f>IF(AND(E10&lt;&gt;"",F10&lt;&gt;""),E10*F10,"")</f>
        <v/>
      </c>
      <c r="H10" s="4" t="n"/>
    </row>
    <row r="11">
      <c r="A11" s="2" t="n">
        <v>10</v>
      </c>
      <c r="B11" s="3" t="n"/>
      <c r="C11" s="4" t="n"/>
      <c r="D11" s="4" t="n"/>
      <c r="E11" s="4" t="n"/>
      <c r="F11" s="5" t="n"/>
      <c r="G11" s="5">
        <f>IF(AND(E11&lt;&gt;"",F11&lt;&gt;""),E11*F11,"")</f>
        <v/>
      </c>
      <c r="H11" s="4" t="n"/>
    </row>
    <row r="12">
      <c r="A12" s="2" t="n">
        <v>11</v>
      </c>
      <c r="B12" s="3" t="n"/>
      <c r="C12" s="4" t="n"/>
      <c r="D12" s="4" t="n"/>
      <c r="E12" s="4" t="n"/>
      <c r="F12" s="5" t="n"/>
      <c r="G12" s="5">
        <f>IF(AND(E12&lt;&gt;"",F12&lt;&gt;""),E12*F12,"")</f>
        <v/>
      </c>
      <c r="H12" s="4" t="n"/>
    </row>
    <row r="13">
      <c r="A13" s="2" t="n">
        <v>12</v>
      </c>
      <c r="B13" s="3" t="n"/>
      <c r="C13" s="4" t="n"/>
      <c r="D13" s="4" t="n"/>
      <c r="E13" s="4" t="n"/>
      <c r="F13" s="5" t="n"/>
      <c r="G13" s="5">
        <f>IF(AND(E13&lt;&gt;"",F13&lt;&gt;""),E13*F13,"")</f>
        <v/>
      </c>
      <c r="H13" s="4" t="n"/>
    </row>
    <row r="14">
      <c r="A14" s="2" t="n">
        <v>13</v>
      </c>
      <c r="B14" s="3" t="n"/>
      <c r="C14" s="4" t="n"/>
      <c r="D14" s="4" t="n"/>
      <c r="E14" s="4" t="n"/>
      <c r="F14" s="5" t="n"/>
      <c r="G14" s="5">
        <f>IF(AND(E14&lt;&gt;"",F14&lt;&gt;""),E14*F14,"")</f>
        <v/>
      </c>
      <c r="H14" s="4" t="n"/>
    </row>
    <row r="15">
      <c r="A15" s="2" t="n">
        <v>14</v>
      </c>
      <c r="B15" s="3" t="n"/>
      <c r="C15" s="4" t="n"/>
      <c r="D15" s="4" t="n"/>
      <c r="E15" s="4" t="n"/>
      <c r="F15" s="5" t="n"/>
      <c r="G15" s="5">
        <f>IF(AND(E15&lt;&gt;"",F15&lt;&gt;""),E15*F15,"")</f>
        <v/>
      </c>
      <c r="H15" s="4" t="n"/>
    </row>
    <row r="16">
      <c r="A16" s="2" t="n">
        <v>15</v>
      </c>
      <c r="B16" s="3" t="n"/>
      <c r="C16" s="4" t="n"/>
      <c r="D16" s="4" t="n"/>
      <c r="E16" s="4" t="n"/>
      <c r="F16" s="5" t="n"/>
      <c r="G16" s="5">
        <f>IF(AND(E16&lt;&gt;"",F16&lt;&gt;""),E16*F16,"")</f>
        <v/>
      </c>
      <c r="H16" s="4" t="n"/>
    </row>
    <row r="17">
      <c r="A17" s="2" t="n">
        <v>16</v>
      </c>
      <c r="B17" s="3" t="n"/>
      <c r="C17" s="4" t="n"/>
      <c r="D17" s="4" t="n"/>
      <c r="E17" s="4" t="n"/>
      <c r="F17" s="5" t="n"/>
      <c r="G17" s="5">
        <f>IF(AND(E17&lt;&gt;"",F17&lt;&gt;""),E17*F17,"")</f>
        <v/>
      </c>
      <c r="H17" s="4" t="n"/>
    </row>
    <row r="18">
      <c r="A18" s="2" t="n">
        <v>17</v>
      </c>
      <c r="B18" s="3" t="n"/>
      <c r="C18" s="4" t="n"/>
      <c r="D18" s="4" t="n"/>
      <c r="E18" s="4" t="n"/>
      <c r="F18" s="5" t="n"/>
      <c r="G18" s="5">
        <f>IF(AND(E18&lt;&gt;"",F18&lt;&gt;""),E18*F18,"")</f>
        <v/>
      </c>
      <c r="H18" s="4" t="n"/>
    </row>
    <row r="19">
      <c r="A19" s="2" t="n">
        <v>18</v>
      </c>
      <c r="B19" s="3" t="n"/>
      <c r="C19" s="4" t="n"/>
      <c r="D19" s="4" t="n"/>
      <c r="E19" s="4" t="n"/>
      <c r="F19" s="5" t="n"/>
      <c r="G19" s="5">
        <f>IF(AND(E19&lt;&gt;"",F19&lt;&gt;""),E19*F19,"")</f>
        <v/>
      </c>
      <c r="H19" s="4" t="n"/>
    </row>
    <row r="20">
      <c r="A20" s="2" t="n">
        <v>19</v>
      </c>
      <c r="B20" s="3" t="n"/>
      <c r="C20" s="4" t="n"/>
      <c r="D20" s="4" t="n"/>
      <c r="E20" s="4" t="n"/>
      <c r="F20" s="5" t="n"/>
      <c r="G20" s="5">
        <f>IF(AND(E20&lt;&gt;"",F20&lt;&gt;""),E20*F20,"")</f>
        <v/>
      </c>
      <c r="H20" s="4" t="n"/>
    </row>
    <row r="21">
      <c r="A21" s="2" t="n">
        <v>20</v>
      </c>
      <c r="B21" s="3" t="n"/>
      <c r="C21" s="4" t="n"/>
      <c r="D21" s="4" t="n"/>
      <c r="E21" s="4" t="n"/>
      <c r="F21" s="5" t="n"/>
      <c r="G21" s="5">
        <f>IF(AND(E21&lt;&gt;"",F21&lt;&gt;""),E21*F21,"")</f>
        <v/>
      </c>
      <c r="H21" s="4" t="n"/>
    </row>
    <row r="22">
      <c r="A22" s="2" t="n">
        <v>21</v>
      </c>
      <c r="B22" s="3" t="n"/>
      <c r="C22" s="4" t="n"/>
      <c r="D22" s="4" t="n"/>
      <c r="E22" s="4" t="n"/>
      <c r="F22" s="5" t="n"/>
      <c r="G22" s="5">
        <f>IF(AND(E22&lt;&gt;"",F22&lt;&gt;""),E22*F22,"")</f>
        <v/>
      </c>
      <c r="H22" s="4" t="n"/>
    </row>
    <row r="23">
      <c r="A23" s="2" t="n">
        <v>22</v>
      </c>
      <c r="B23" s="3" t="n"/>
      <c r="C23" s="4" t="n"/>
      <c r="D23" s="4" t="n"/>
      <c r="E23" s="4" t="n"/>
      <c r="F23" s="5" t="n"/>
      <c r="G23" s="5">
        <f>IF(AND(E23&lt;&gt;"",F23&lt;&gt;""),E23*F23,"")</f>
        <v/>
      </c>
      <c r="H23" s="4" t="n"/>
    </row>
    <row r="24">
      <c r="A24" s="2" t="n">
        <v>23</v>
      </c>
      <c r="B24" s="3" t="n"/>
      <c r="C24" s="4" t="n"/>
      <c r="D24" s="4" t="n"/>
      <c r="E24" s="4" t="n"/>
      <c r="F24" s="5" t="n"/>
      <c r="G24" s="5">
        <f>IF(AND(E24&lt;&gt;"",F24&lt;&gt;""),E24*F24,"")</f>
        <v/>
      </c>
      <c r="H24" s="4" t="n"/>
    </row>
    <row r="25">
      <c r="A25" s="2" t="n">
        <v>24</v>
      </c>
      <c r="B25" s="3" t="n"/>
      <c r="C25" s="4" t="n"/>
      <c r="D25" s="4" t="n"/>
      <c r="E25" s="4" t="n"/>
      <c r="F25" s="5" t="n"/>
      <c r="G25" s="5">
        <f>IF(AND(E25&lt;&gt;"",F25&lt;&gt;""),E25*F25,"")</f>
        <v/>
      </c>
      <c r="H25" s="4" t="n"/>
    </row>
    <row r="26">
      <c r="A26" s="2" t="n">
        <v>25</v>
      </c>
      <c r="B26" s="3" t="n"/>
      <c r="C26" s="4" t="n"/>
      <c r="D26" s="4" t="n"/>
      <c r="E26" s="4" t="n"/>
      <c r="F26" s="5" t="n"/>
      <c r="G26" s="5">
        <f>IF(AND(E26&lt;&gt;"",F26&lt;&gt;""),E26*F26,"")</f>
        <v/>
      </c>
      <c r="H26" s="4" t="n"/>
    </row>
    <row r="27">
      <c r="A27" s="2" t="n">
        <v>26</v>
      </c>
      <c r="B27" s="3" t="n"/>
      <c r="C27" s="4" t="n"/>
      <c r="D27" s="4" t="n"/>
      <c r="E27" s="4" t="n"/>
      <c r="F27" s="5" t="n"/>
      <c r="G27" s="5">
        <f>IF(AND(E27&lt;&gt;"",F27&lt;&gt;""),E27*F27,"")</f>
        <v/>
      </c>
      <c r="H27" s="4" t="n"/>
    </row>
    <row r="28">
      <c r="A28" s="2" t="n">
        <v>27</v>
      </c>
      <c r="B28" s="3" t="n"/>
      <c r="C28" s="4" t="n"/>
      <c r="D28" s="4" t="n"/>
      <c r="E28" s="4" t="n"/>
      <c r="F28" s="5" t="n"/>
      <c r="G28" s="5">
        <f>IF(AND(E28&lt;&gt;"",F28&lt;&gt;""),E28*F28,"")</f>
        <v/>
      </c>
      <c r="H28" s="4" t="n"/>
    </row>
    <row r="29">
      <c r="A29" s="2" t="n">
        <v>28</v>
      </c>
      <c r="B29" s="3" t="n"/>
      <c r="C29" s="4" t="n"/>
      <c r="D29" s="4" t="n"/>
      <c r="E29" s="4" t="n"/>
      <c r="F29" s="5" t="n"/>
      <c r="G29" s="5">
        <f>IF(AND(E29&lt;&gt;"",F29&lt;&gt;""),E29*F29,"")</f>
        <v/>
      </c>
      <c r="H29" s="4" t="n"/>
    </row>
    <row r="30">
      <c r="A30" s="2" t="n">
        <v>29</v>
      </c>
      <c r="B30" s="3" t="n"/>
      <c r="C30" s="4" t="n"/>
      <c r="D30" s="4" t="n"/>
      <c r="E30" s="4" t="n"/>
      <c r="F30" s="5" t="n"/>
      <c r="G30" s="5">
        <f>IF(AND(E30&lt;&gt;"",F30&lt;&gt;""),E30*F30,"")</f>
        <v/>
      </c>
      <c r="H30" s="4" t="n"/>
    </row>
    <row r="31">
      <c r="A31" s="2" t="n">
        <v>30</v>
      </c>
      <c r="B31" s="3" t="n"/>
      <c r="C31" s="4" t="n"/>
      <c r="D31" s="4" t="n"/>
      <c r="E31" s="4" t="n"/>
      <c r="F31" s="5" t="n"/>
      <c r="G31" s="5">
        <f>IF(AND(E31&lt;&gt;"",F31&lt;&gt;""),E31*F31,"")</f>
        <v/>
      </c>
      <c r="H31" s="4" t="n"/>
    </row>
    <row r="32">
      <c r="A32" s="2" t="n">
        <v>31</v>
      </c>
      <c r="B32" s="3" t="n"/>
      <c r="C32" s="4" t="n"/>
      <c r="D32" s="4" t="n"/>
      <c r="E32" s="4" t="n"/>
      <c r="F32" s="5" t="n"/>
      <c r="G32" s="5">
        <f>IF(AND(E32&lt;&gt;"",F32&lt;&gt;""),E32*F32,"")</f>
        <v/>
      </c>
      <c r="H32" s="4" t="n"/>
    </row>
    <row r="33">
      <c r="A33" s="2" t="n">
        <v>32</v>
      </c>
      <c r="B33" s="3" t="n"/>
      <c r="C33" s="4" t="n"/>
      <c r="D33" s="4" t="n"/>
      <c r="E33" s="4" t="n"/>
      <c r="F33" s="5" t="n"/>
      <c r="G33" s="5">
        <f>IF(AND(E33&lt;&gt;"",F33&lt;&gt;""),E33*F33,"")</f>
        <v/>
      </c>
      <c r="H33" s="4" t="n"/>
    </row>
    <row r="34">
      <c r="A34" s="2" t="n">
        <v>33</v>
      </c>
      <c r="B34" s="3" t="n"/>
      <c r="C34" s="4" t="n"/>
      <c r="D34" s="4" t="n"/>
      <c r="E34" s="4" t="n"/>
      <c r="F34" s="5" t="n"/>
      <c r="G34" s="5">
        <f>IF(AND(E34&lt;&gt;"",F34&lt;&gt;""),E34*F34,"")</f>
        <v/>
      </c>
      <c r="H34" s="4" t="n"/>
    </row>
    <row r="35">
      <c r="A35" s="2" t="n">
        <v>34</v>
      </c>
      <c r="B35" s="3" t="n"/>
      <c r="C35" s="4" t="n"/>
      <c r="D35" s="4" t="n"/>
      <c r="E35" s="4" t="n"/>
      <c r="F35" s="5" t="n"/>
      <c r="G35" s="5">
        <f>IF(AND(E35&lt;&gt;"",F35&lt;&gt;""),E35*F35,"")</f>
        <v/>
      </c>
      <c r="H35" s="4" t="n"/>
    </row>
    <row r="36">
      <c r="A36" s="2" t="n">
        <v>35</v>
      </c>
      <c r="B36" s="3" t="n"/>
      <c r="C36" s="4" t="n"/>
      <c r="D36" s="4" t="n"/>
      <c r="E36" s="4" t="n"/>
      <c r="F36" s="5" t="n"/>
      <c r="G36" s="5">
        <f>IF(AND(E36&lt;&gt;"",F36&lt;&gt;""),E36*F36,"")</f>
        <v/>
      </c>
      <c r="H36" s="4" t="n"/>
    </row>
    <row r="37">
      <c r="A37" s="2" t="n">
        <v>36</v>
      </c>
      <c r="B37" s="3" t="n"/>
      <c r="C37" s="4" t="n"/>
      <c r="D37" s="4" t="n"/>
      <c r="E37" s="4" t="n"/>
      <c r="F37" s="5" t="n"/>
      <c r="G37" s="5">
        <f>IF(AND(E37&lt;&gt;"",F37&lt;&gt;""),E37*F37,"")</f>
        <v/>
      </c>
      <c r="H37" s="4" t="n"/>
    </row>
    <row r="38">
      <c r="A38" s="2" t="n">
        <v>37</v>
      </c>
      <c r="B38" s="3" t="n"/>
      <c r="C38" s="4" t="n"/>
      <c r="D38" s="4" t="n"/>
      <c r="E38" s="4" t="n"/>
      <c r="F38" s="5" t="n"/>
      <c r="G38" s="5">
        <f>IF(AND(E38&lt;&gt;"",F38&lt;&gt;""),E38*F38,"")</f>
        <v/>
      </c>
      <c r="H38" s="4" t="n"/>
    </row>
    <row r="39">
      <c r="A39" s="2" t="n">
        <v>38</v>
      </c>
      <c r="B39" s="3" t="n"/>
      <c r="C39" s="4" t="n"/>
      <c r="D39" s="4" t="n"/>
      <c r="E39" s="4" t="n"/>
      <c r="F39" s="5" t="n"/>
      <c r="G39" s="5">
        <f>IF(AND(E39&lt;&gt;"",F39&lt;&gt;""),E39*F39,"")</f>
        <v/>
      </c>
      <c r="H39" s="4" t="n"/>
    </row>
    <row r="40">
      <c r="A40" s="2" t="n">
        <v>39</v>
      </c>
      <c r="B40" s="3" t="n"/>
      <c r="C40" s="4" t="n"/>
      <c r="D40" s="4" t="n"/>
      <c r="E40" s="4" t="n"/>
      <c r="F40" s="5" t="n"/>
      <c r="G40" s="5">
        <f>IF(AND(E40&lt;&gt;"",F40&lt;&gt;""),E40*F40,"")</f>
        <v/>
      </c>
      <c r="H40" s="4" t="n"/>
    </row>
    <row r="41">
      <c r="A41" s="2" t="n">
        <v>40</v>
      </c>
      <c r="B41" s="3" t="n"/>
      <c r="C41" s="4" t="n"/>
      <c r="D41" s="4" t="n"/>
      <c r="E41" s="4" t="n"/>
      <c r="F41" s="5" t="n"/>
      <c r="G41" s="5">
        <f>IF(AND(E41&lt;&gt;"",F41&lt;&gt;""),E41*F41,"")</f>
        <v/>
      </c>
      <c r="H41" s="4" t="n"/>
    </row>
    <row r="42">
      <c r="A42" s="2" t="n">
        <v>41</v>
      </c>
      <c r="B42" s="3" t="n"/>
      <c r="C42" s="4" t="n"/>
      <c r="D42" s="4" t="n"/>
      <c r="E42" s="4" t="n"/>
      <c r="F42" s="5" t="n"/>
      <c r="G42" s="5">
        <f>IF(AND(E42&lt;&gt;"",F42&lt;&gt;""),E42*F42,"")</f>
        <v/>
      </c>
      <c r="H42" s="4" t="n"/>
    </row>
    <row r="43">
      <c r="A43" s="2" t="n">
        <v>42</v>
      </c>
      <c r="B43" s="3" t="n"/>
      <c r="C43" s="4" t="n"/>
      <c r="D43" s="4" t="n"/>
      <c r="E43" s="4" t="n"/>
      <c r="F43" s="5" t="n"/>
      <c r="G43" s="5">
        <f>IF(AND(E43&lt;&gt;"",F43&lt;&gt;""),E43*F43,"")</f>
        <v/>
      </c>
      <c r="H43" s="4" t="n"/>
    </row>
    <row r="44">
      <c r="A44" s="2" t="n">
        <v>43</v>
      </c>
      <c r="B44" s="3" t="n"/>
      <c r="C44" s="4" t="n"/>
      <c r="D44" s="4" t="n"/>
      <c r="E44" s="4" t="n"/>
      <c r="F44" s="5" t="n"/>
      <c r="G44" s="5">
        <f>IF(AND(E44&lt;&gt;"",F44&lt;&gt;""),E44*F44,"")</f>
        <v/>
      </c>
      <c r="H44" s="4" t="n"/>
    </row>
    <row r="45">
      <c r="A45" s="2" t="n">
        <v>44</v>
      </c>
      <c r="B45" s="3" t="n"/>
      <c r="C45" s="4" t="n"/>
      <c r="D45" s="4" t="n"/>
      <c r="E45" s="4" t="n"/>
      <c r="F45" s="5" t="n"/>
      <c r="G45" s="5">
        <f>IF(AND(E45&lt;&gt;"",F45&lt;&gt;""),E45*F45,"")</f>
        <v/>
      </c>
      <c r="H45" s="4" t="n"/>
    </row>
    <row r="46">
      <c r="A46" s="2" t="n">
        <v>45</v>
      </c>
      <c r="B46" s="3" t="n"/>
      <c r="C46" s="4" t="n"/>
      <c r="D46" s="4" t="n"/>
      <c r="E46" s="4" t="n"/>
      <c r="F46" s="5" t="n"/>
      <c r="G46" s="5">
        <f>IF(AND(E46&lt;&gt;"",F46&lt;&gt;""),E46*F46,"")</f>
        <v/>
      </c>
      <c r="H46" s="4" t="n"/>
    </row>
    <row r="47">
      <c r="A47" s="2" t="n">
        <v>46</v>
      </c>
      <c r="B47" s="3" t="n"/>
      <c r="C47" s="4" t="n"/>
      <c r="D47" s="4" t="n"/>
      <c r="E47" s="4" t="n"/>
      <c r="F47" s="5" t="n"/>
      <c r="G47" s="5">
        <f>IF(AND(E47&lt;&gt;"",F47&lt;&gt;""),E47*F47,"")</f>
        <v/>
      </c>
      <c r="H47" s="4" t="n"/>
    </row>
    <row r="48">
      <c r="A48" s="2" t="n">
        <v>47</v>
      </c>
      <c r="B48" s="3" t="n"/>
      <c r="C48" s="4" t="n"/>
      <c r="D48" s="4" t="n"/>
      <c r="E48" s="4" t="n"/>
      <c r="F48" s="5" t="n"/>
      <c r="G48" s="5">
        <f>IF(AND(E48&lt;&gt;"",F48&lt;&gt;""),E48*F48,"")</f>
        <v/>
      </c>
      <c r="H48" s="4" t="n"/>
    </row>
    <row r="49">
      <c r="A49" s="2" t="n">
        <v>48</v>
      </c>
      <c r="B49" s="3" t="n"/>
      <c r="C49" s="4" t="n"/>
      <c r="D49" s="4" t="n"/>
      <c r="E49" s="4" t="n"/>
      <c r="F49" s="5" t="n"/>
      <c r="G49" s="5">
        <f>IF(AND(E49&lt;&gt;"",F49&lt;&gt;""),E49*F49,"")</f>
        <v/>
      </c>
      <c r="H49" s="4" t="n"/>
    </row>
    <row r="50">
      <c r="A50" s="2" t="n">
        <v>49</v>
      </c>
      <c r="B50" s="3" t="n"/>
      <c r="C50" s="4" t="n"/>
      <c r="D50" s="4" t="n"/>
      <c r="E50" s="4" t="n"/>
      <c r="F50" s="5" t="n"/>
      <c r="G50" s="5">
        <f>IF(AND(E50&lt;&gt;"",F50&lt;&gt;""),E50*F50,"")</f>
        <v/>
      </c>
      <c r="H50" s="4" t="n"/>
    </row>
    <row r="51">
      <c r="A51" s="2" t="n">
        <v>50</v>
      </c>
      <c r="B51" s="3" t="n"/>
      <c r="C51" s="4" t="n"/>
      <c r="D51" s="4" t="n"/>
      <c r="E51" s="4" t="n"/>
      <c r="F51" s="5" t="n"/>
      <c r="G51" s="5">
        <f>IF(AND(E51&lt;&gt;"",F51&lt;&gt;""),E51*F51,"")</f>
        <v/>
      </c>
      <c r="H51" s="4" t="n"/>
    </row>
    <row r="53">
      <c r="A53" s="6" t="inlineStr">
        <is>
          <t>TOTAL PENDAPATAN</t>
        </is>
      </c>
      <c r="G53" s="7">
        <f>SUMPRODUCT((G2:G51&lt;&gt;"")*G2:G51)</f>
        <v/>
      </c>
    </row>
    <row r="54">
      <c r="A54" s="8" t="inlineStr">
        <is>
          <t>TOTAL PESANAN</t>
        </is>
      </c>
      <c r="G54" s="9">
        <f>COUNTA(C2:C51)</f>
        <v/>
      </c>
    </row>
    <row r="55">
      <c r="A55" s="8" t="inlineStr">
        <is>
          <t>SUDAH BAYAR</t>
        </is>
      </c>
      <c r="G55" s="9">
        <f>COUNTIF(H2:H51,"Lunas")</f>
        <v/>
      </c>
    </row>
    <row r="56">
      <c r="A56" s="8" t="inlineStr">
        <is>
          <t>BELUM BAYAR</t>
        </is>
      </c>
      <c r="G56" s="9">
        <f>COUNTIF(H2:H51,"Belum")</f>
        <v/>
      </c>
    </row>
  </sheetData>
  <mergeCells count="4">
    <mergeCell ref="A54:F54"/>
    <mergeCell ref="A53:F53"/>
    <mergeCell ref="A55:F55"/>
    <mergeCell ref="A56:F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  <col width="22" customWidth="1" min="9" max="9"/>
    <col width="22" customWidth="1" min="10" max="10"/>
    <col width="12" customWidth="1" min="11" max="11"/>
    <col width="10" customWidth="1" min="12" max="12"/>
    <col width="5" customWidth="1" min="14" max="14"/>
    <col width="22" customWidth="1" min="15" max="15"/>
    <col width="18" customWidth="1" min="16" max="16"/>
    <col width="18" customWidth="1" min="17" max="17"/>
    <col width="16" customWidth="1" min="18" max="18"/>
  </cols>
  <sheetData>
    <row r="1">
      <c r="A1" s="10" t="inlineStr">
        <is>
          <t>A. DAFTAR BAHAN BAKU</t>
        </is>
      </c>
      <c r="I1" s="10" t="inlineStr">
        <is>
          <t>B. RESEP PER MENU</t>
        </is>
      </c>
      <c r="N1" s="10" t="inlineStr">
        <is>
          <t>C. HPP PER MENU (OTOMATIS)</t>
        </is>
      </c>
    </row>
    <row r="2">
      <c r="A2" s="11" t="inlineStr">
        <is>
          <t>No</t>
        </is>
      </c>
      <c r="B2" s="11" t="inlineStr">
        <is>
          <t>Nama Bahan</t>
        </is>
      </c>
      <c r="C2" s="11" t="inlineStr">
        <is>
          <t>Satuan</t>
        </is>
      </c>
      <c r="D2" s="11" t="inlineStr">
        <is>
          <t>Harga/Satuan (Rp)</t>
        </is>
      </c>
      <c r="E2" s="11" t="inlineStr">
        <is>
          <t>Stok</t>
        </is>
      </c>
      <c r="F2" s="11" t="inlineStr">
        <is>
          <t>Min Stok</t>
        </is>
      </c>
      <c r="G2" s="11" t="inlineStr">
        <is>
          <t>Status</t>
        </is>
      </c>
      <c r="H2" s="11" t="n"/>
      <c r="I2" s="11" t="inlineStr">
        <is>
          <t>Nama Menu</t>
        </is>
      </c>
      <c r="J2" s="11" t="inlineStr">
        <is>
          <t>Nama Bahan</t>
        </is>
      </c>
      <c r="K2" s="11" t="inlineStr">
        <is>
          <t>Kuantitas</t>
        </is>
      </c>
      <c r="L2" s="11" t="inlineStr">
        <is>
          <t>Satuan</t>
        </is>
      </c>
      <c r="M2" s="11" t="n"/>
      <c r="N2" s="11" t="inlineStr">
        <is>
          <t>No</t>
        </is>
      </c>
      <c r="O2" s="11" t="inlineStr">
        <is>
          <t>Nama Menu</t>
        </is>
      </c>
      <c r="P2" s="11" t="inlineStr">
        <is>
          <t>Total HPP (Rp)</t>
        </is>
      </c>
      <c r="Q2" s="11" t="inlineStr">
        <is>
          <t>HPP/Porsi (Rp)</t>
        </is>
      </c>
      <c r="R2" s="11" t="inlineStr">
        <is>
          <t>Porsi/Menu</t>
        </is>
      </c>
    </row>
    <row r="3">
      <c r="A3" s="2" t="n">
        <v>1</v>
      </c>
      <c r="B3" s="4" t="n"/>
      <c r="C3" s="4" t="n"/>
      <c r="D3" s="5" t="n"/>
      <c r="E3" s="4" t="n"/>
      <c r="F3" s="4" t="n"/>
      <c r="G3" s="4">
        <f>IF(E3="","",IF(E3&gt;=F3,"Aman","Restock!"))</f>
        <v/>
      </c>
      <c r="H3" s="4" t="n"/>
      <c r="I3" s="4" t="n"/>
      <c r="J3" s="4" t="n"/>
      <c r="K3" s="12" t="n"/>
      <c r="L3" s="4" t="n"/>
      <c r="M3" s="4" t="n"/>
      <c r="N3" s="2" t="n">
        <v>1</v>
      </c>
      <c r="O3" s="4" t="n"/>
      <c r="P3" s="5" t="n"/>
      <c r="Q3" s="5">
        <f>IF(AND(P3&lt;&gt;"",R3&lt;&gt;""),P3/R3,"")</f>
        <v/>
      </c>
      <c r="R3" s="2" t="n"/>
    </row>
    <row r="4">
      <c r="A4" s="2" t="n">
        <v>2</v>
      </c>
      <c r="B4" s="4" t="n"/>
      <c r="C4" s="4" t="n"/>
      <c r="D4" s="5" t="n"/>
      <c r="E4" s="4" t="n"/>
      <c r="F4" s="4" t="n"/>
      <c r="G4" s="4">
        <f>IF(E4="","",IF(E4&gt;=F4,"Aman","Restock!"))</f>
        <v/>
      </c>
      <c r="H4" s="4" t="n"/>
      <c r="I4" s="4" t="n"/>
      <c r="J4" s="4" t="n"/>
      <c r="K4" s="12" t="n"/>
      <c r="L4" s="4" t="n"/>
      <c r="M4" s="4" t="n"/>
      <c r="N4" s="2" t="n">
        <v>2</v>
      </c>
      <c r="O4" s="4" t="n"/>
      <c r="P4" s="5" t="n"/>
      <c r="Q4" s="5">
        <f>IF(AND(P4&lt;&gt;"",R4&lt;&gt;""),P4/R4,"")</f>
        <v/>
      </c>
      <c r="R4" s="2" t="n"/>
    </row>
    <row r="5">
      <c r="A5" s="2" t="n">
        <v>3</v>
      </c>
      <c r="B5" s="4" t="n"/>
      <c r="C5" s="4" t="n"/>
      <c r="D5" s="5" t="n"/>
      <c r="E5" s="4" t="n"/>
      <c r="F5" s="4" t="n"/>
      <c r="G5" s="4">
        <f>IF(E5="","",IF(E5&gt;=F5,"Aman","Restock!"))</f>
        <v/>
      </c>
      <c r="H5" s="4" t="n"/>
      <c r="I5" s="4" t="n"/>
      <c r="J5" s="4" t="n"/>
      <c r="K5" s="12" t="n"/>
      <c r="L5" s="4" t="n"/>
      <c r="M5" s="4" t="n"/>
      <c r="N5" s="2" t="n">
        <v>3</v>
      </c>
      <c r="O5" s="4" t="n"/>
      <c r="P5" s="5" t="n"/>
      <c r="Q5" s="5">
        <f>IF(AND(P5&lt;&gt;"",R5&lt;&gt;""),P5/R5,"")</f>
        <v/>
      </c>
      <c r="R5" s="2" t="n"/>
    </row>
    <row r="6">
      <c r="A6" s="2" t="n">
        <v>4</v>
      </c>
      <c r="B6" s="4" t="n"/>
      <c r="C6" s="4" t="n"/>
      <c r="D6" s="5" t="n"/>
      <c r="E6" s="4" t="n"/>
      <c r="F6" s="4" t="n"/>
      <c r="G6" s="4">
        <f>IF(E6="","",IF(E6&gt;=F6,"Aman","Restock!"))</f>
        <v/>
      </c>
      <c r="H6" s="4" t="n"/>
      <c r="I6" s="4" t="n"/>
      <c r="J6" s="4" t="n"/>
      <c r="K6" s="12" t="n"/>
      <c r="L6" s="4" t="n"/>
      <c r="M6" s="4" t="n"/>
      <c r="N6" s="2" t="n">
        <v>4</v>
      </c>
      <c r="O6" s="4" t="n"/>
      <c r="P6" s="5" t="n"/>
      <c r="Q6" s="5">
        <f>IF(AND(P6&lt;&gt;"",R6&lt;&gt;""),P6/R6,"")</f>
        <v/>
      </c>
      <c r="R6" s="2" t="n"/>
    </row>
    <row r="7">
      <c r="A7" s="2" t="n">
        <v>5</v>
      </c>
      <c r="B7" s="4" t="n"/>
      <c r="C7" s="4" t="n"/>
      <c r="D7" s="5" t="n"/>
      <c r="E7" s="4" t="n"/>
      <c r="F7" s="4" t="n"/>
      <c r="G7" s="4">
        <f>IF(E7="","",IF(E7&gt;=F7,"Aman","Restock!"))</f>
        <v/>
      </c>
      <c r="H7" s="4" t="n"/>
      <c r="I7" s="4" t="n"/>
      <c r="J7" s="4" t="n"/>
      <c r="K7" s="12" t="n"/>
      <c r="L7" s="4" t="n"/>
      <c r="M7" s="4" t="n"/>
      <c r="N7" s="2" t="n">
        <v>5</v>
      </c>
      <c r="O7" s="4" t="n"/>
      <c r="P7" s="5" t="n"/>
      <c r="Q7" s="5">
        <f>IF(AND(P7&lt;&gt;"",R7&lt;&gt;""),P7/R7,"")</f>
        <v/>
      </c>
      <c r="R7" s="2" t="n"/>
    </row>
    <row r="8">
      <c r="A8" s="2" t="n">
        <v>6</v>
      </c>
      <c r="B8" s="4" t="n"/>
      <c r="C8" s="4" t="n"/>
      <c r="D8" s="5" t="n"/>
      <c r="E8" s="4" t="n"/>
      <c r="F8" s="4" t="n"/>
      <c r="G8" s="4">
        <f>IF(E8="","",IF(E8&gt;=F8,"Aman","Restock!"))</f>
        <v/>
      </c>
      <c r="H8" s="4" t="n"/>
      <c r="I8" s="4" t="n"/>
      <c r="J8" s="4" t="n"/>
      <c r="K8" s="12" t="n"/>
      <c r="L8" s="4" t="n"/>
      <c r="M8" s="4" t="n"/>
      <c r="N8" s="2" t="n">
        <v>6</v>
      </c>
      <c r="O8" s="4" t="n"/>
      <c r="P8" s="5" t="n"/>
      <c r="Q8" s="5">
        <f>IF(AND(P8&lt;&gt;"",R8&lt;&gt;""),P8/R8,"")</f>
        <v/>
      </c>
      <c r="R8" s="2" t="n"/>
    </row>
    <row r="9">
      <c r="A9" s="2" t="n">
        <v>7</v>
      </c>
      <c r="B9" s="4" t="n"/>
      <c r="C9" s="4" t="n"/>
      <c r="D9" s="5" t="n"/>
      <c r="E9" s="4" t="n"/>
      <c r="F9" s="4" t="n"/>
      <c r="G9" s="4">
        <f>IF(E9="","",IF(E9&gt;=F9,"Aman","Restock!"))</f>
        <v/>
      </c>
      <c r="H9" s="4" t="n"/>
      <c r="I9" s="4" t="n"/>
      <c r="J9" s="4" t="n"/>
      <c r="K9" s="12" t="n"/>
      <c r="L9" s="4" t="n"/>
      <c r="M9" s="4" t="n"/>
      <c r="N9" s="2" t="n">
        <v>7</v>
      </c>
      <c r="O9" s="4" t="n"/>
      <c r="P9" s="5" t="n"/>
      <c r="Q9" s="5">
        <f>IF(AND(P9&lt;&gt;"",R9&lt;&gt;""),P9/R9,"")</f>
        <v/>
      </c>
      <c r="R9" s="2" t="n"/>
    </row>
    <row r="10">
      <c r="A10" s="2" t="n">
        <v>8</v>
      </c>
      <c r="B10" s="4" t="n"/>
      <c r="C10" s="4" t="n"/>
      <c r="D10" s="5" t="n"/>
      <c r="E10" s="4" t="n"/>
      <c r="F10" s="4" t="n"/>
      <c r="G10" s="4">
        <f>IF(E10="","",IF(E10&gt;=F10,"Aman","Restock!"))</f>
        <v/>
      </c>
      <c r="H10" s="4" t="n"/>
      <c r="I10" s="4" t="n"/>
      <c r="J10" s="4" t="n"/>
      <c r="K10" s="12" t="n"/>
      <c r="L10" s="4" t="n"/>
      <c r="M10" s="4" t="n"/>
      <c r="N10" s="2" t="n">
        <v>8</v>
      </c>
      <c r="O10" s="4" t="n"/>
      <c r="P10" s="5" t="n"/>
      <c r="Q10" s="5">
        <f>IF(AND(P10&lt;&gt;"",R10&lt;&gt;""),P10/R10,"")</f>
        <v/>
      </c>
      <c r="R10" s="2" t="n"/>
    </row>
    <row r="11">
      <c r="A11" s="2" t="n">
        <v>9</v>
      </c>
      <c r="B11" s="4" t="n"/>
      <c r="C11" s="4" t="n"/>
      <c r="D11" s="5" t="n"/>
      <c r="E11" s="4" t="n"/>
      <c r="F11" s="4" t="n"/>
      <c r="G11" s="4">
        <f>IF(E11="","",IF(E11&gt;=F11,"Aman","Restock!"))</f>
        <v/>
      </c>
      <c r="H11" s="4" t="n"/>
      <c r="I11" s="4" t="n"/>
      <c r="J11" s="4" t="n"/>
      <c r="K11" s="12" t="n"/>
      <c r="L11" s="4" t="n"/>
      <c r="M11" s="4" t="n"/>
      <c r="N11" s="2" t="n">
        <v>9</v>
      </c>
      <c r="O11" s="4" t="n"/>
      <c r="P11" s="5" t="n"/>
      <c r="Q11" s="5">
        <f>IF(AND(P11&lt;&gt;"",R11&lt;&gt;""),P11/R11,"")</f>
        <v/>
      </c>
      <c r="R11" s="2" t="n"/>
    </row>
    <row r="12">
      <c r="A12" s="2" t="n">
        <v>10</v>
      </c>
      <c r="B12" s="4" t="n"/>
      <c r="C12" s="4" t="n"/>
      <c r="D12" s="5" t="n"/>
      <c r="E12" s="4" t="n"/>
      <c r="F12" s="4" t="n"/>
      <c r="G12" s="4">
        <f>IF(E12="","",IF(E12&gt;=F12,"Aman","Restock!"))</f>
        <v/>
      </c>
      <c r="H12" s="4" t="n"/>
      <c r="I12" s="4" t="n"/>
      <c r="J12" s="4" t="n"/>
      <c r="K12" s="12" t="n"/>
      <c r="L12" s="4" t="n"/>
      <c r="M12" s="4" t="n"/>
      <c r="N12" s="2" t="n">
        <v>10</v>
      </c>
      <c r="O12" s="4" t="n"/>
      <c r="P12" s="5" t="n"/>
      <c r="Q12" s="5">
        <f>IF(AND(P12&lt;&gt;"",R12&lt;&gt;""),P12/R12,"")</f>
        <v/>
      </c>
      <c r="R12" s="2" t="n"/>
    </row>
    <row r="13">
      <c r="A13" s="2" t="n">
        <v>11</v>
      </c>
      <c r="B13" s="4" t="n"/>
      <c r="C13" s="4" t="n"/>
      <c r="D13" s="5" t="n"/>
      <c r="E13" s="4" t="n"/>
      <c r="F13" s="4" t="n"/>
      <c r="G13" s="4">
        <f>IF(E13="","",IF(E13&gt;=F13,"Aman","Restock!"))</f>
        <v/>
      </c>
      <c r="H13" s="4" t="n"/>
      <c r="I13" s="4" t="n"/>
      <c r="J13" s="4" t="n"/>
      <c r="K13" s="12" t="n"/>
      <c r="L13" s="4" t="n"/>
      <c r="M13" s="4" t="n"/>
      <c r="N13" s="2" t="n">
        <v>11</v>
      </c>
      <c r="O13" s="4" t="n"/>
      <c r="P13" s="5" t="n"/>
      <c r="Q13" s="5">
        <f>IF(AND(P13&lt;&gt;"",R13&lt;&gt;""),P13/R13,"")</f>
        <v/>
      </c>
      <c r="R13" s="2" t="n"/>
    </row>
    <row r="14">
      <c r="A14" s="2" t="n">
        <v>12</v>
      </c>
      <c r="B14" s="4" t="n"/>
      <c r="C14" s="4" t="n"/>
      <c r="D14" s="5" t="n"/>
      <c r="E14" s="4" t="n"/>
      <c r="F14" s="4" t="n"/>
      <c r="G14" s="4">
        <f>IF(E14="","",IF(E14&gt;=F14,"Aman","Restock!"))</f>
        <v/>
      </c>
      <c r="H14" s="4" t="n"/>
      <c r="I14" s="4" t="n"/>
      <c r="J14" s="4" t="n"/>
      <c r="K14" s="12" t="n"/>
      <c r="L14" s="4" t="n"/>
      <c r="M14" s="4" t="n"/>
      <c r="N14" s="2" t="n">
        <v>12</v>
      </c>
      <c r="O14" s="4" t="n"/>
      <c r="P14" s="5" t="n"/>
      <c r="Q14" s="5">
        <f>IF(AND(P14&lt;&gt;"",R14&lt;&gt;""),P14/R14,"")</f>
        <v/>
      </c>
      <c r="R14" s="2" t="n"/>
    </row>
    <row r="15">
      <c r="A15" s="2" t="n">
        <v>13</v>
      </c>
      <c r="B15" s="4" t="n"/>
      <c r="C15" s="4" t="n"/>
      <c r="D15" s="5" t="n"/>
      <c r="E15" s="4" t="n"/>
      <c r="F15" s="4" t="n"/>
      <c r="G15" s="4">
        <f>IF(E15="","",IF(E15&gt;=F15,"Aman","Restock!"))</f>
        <v/>
      </c>
      <c r="H15" s="4" t="n"/>
      <c r="I15" s="4" t="n"/>
      <c r="J15" s="4" t="n"/>
      <c r="K15" s="12" t="n"/>
      <c r="L15" s="4" t="n"/>
      <c r="M15" s="4" t="n"/>
      <c r="N15" s="2" t="n">
        <v>13</v>
      </c>
      <c r="O15" s="4" t="n"/>
      <c r="P15" s="5" t="n"/>
      <c r="Q15" s="5">
        <f>IF(AND(P15&lt;&gt;"",R15&lt;&gt;""),P15/R15,"")</f>
        <v/>
      </c>
      <c r="R15" s="2" t="n"/>
    </row>
    <row r="16">
      <c r="A16" s="2" t="n">
        <v>14</v>
      </c>
      <c r="B16" s="4" t="n"/>
      <c r="C16" s="4" t="n"/>
      <c r="D16" s="5" t="n"/>
      <c r="E16" s="4" t="n"/>
      <c r="F16" s="4" t="n"/>
      <c r="G16" s="4">
        <f>IF(E16="","",IF(E16&gt;=F16,"Aman","Restock!"))</f>
        <v/>
      </c>
      <c r="H16" s="4" t="n"/>
      <c r="I16" s="4" t="n"/>
      <c r="J16" s="4" t="n"/>
      <c r="K16" s="12" t="n"/>
      <c r="L16" s="4" t="n"/>
      <c r="M16" s="4" t="n"/>
      <c r="N16" s="2" t="n">
        <v>14</v>
      </c>
      <c r="O16" s="4" t="n"/>
      <c r="P16" s="5" t="n"/>
      <c r="Q16" s="5">
        <f>IF(AND(P16&lt;&gt;"",R16&lt;&gt;""),P16/R16,"")</f>
        <v/>
      </c>
      <c r="R16" s="2" t="n"/>
    </row>
    <row r="17">
      <c r="A17" s="2" t="n">
        <v>15</v>
      </c>
      <c r="B17" s="4" t="n"/>
      <c r="C17" s="4" t="n"/>
      <c r="D17" s="5" t="n"/>
      <c r="E17" s="4" t="n"/>
      <c r="F17" s="4" t="n"/>
      <c r="G17" s="4">
        <f>IF(E17="","",IF(E17&gt;=F17,"Aman","Restock!"))</f>
        <v/>
      </c>
      <c r="H17" s="4" t="n"/>
      <c r="I17" s="4" t="n"/>
      <c r="J17" s="4" t="n"/>
      <c r="K17" s="12" t="n"/>
      <c r="L17" s="4" t="n"/>
      <c r="M17" s="4" t="n"/>
      <c r="N17" s="2" t="n">
        <v>15</v>
      </c>
      <c r="O17" s="4" t="n"/>
      <c r="P17" s="5" t="n"/>
      <c r="Q17" s="5">
        <f>IF(AND(P17&lt;&gt;"",R17&lt;&gt;""),P17/R17,"")</f>
        <v/>
      </c>
      <c r="R17" s="2" t="n"/>
    </row>
    <row r="18">
      <c r="A18" s="2" t="n">
        <v>16</v>
      </c>
      <c r="B18" s="4" t="n"/>
      <c r="C18" s="4" t="n"/>
      <c r="D18" s="5" t="n"/>
      <c r="E18" s="4" t="n"/>
      <c r="F18" s="4" t="n"/>
      <c r="G18" s="4">
        <f>IF(E18="","",IF(E18&gt;=F18,"Aman","Restock!"))</f>
        <v/>
      </c>
      <c r="H18" s="4" t="n"/>
      <c r="I18" s="4" t="n"/>
      <c r="J18" s="4" t="n"/>
      <c r="K18" s="12" t="n"/>
      <c r="L18" s="4" t="n"/>
    </row>
    <row r="19">
      <c r="A19" s="2" t="n">
        <v>17</v>
      </c>
      <c r="B19" s="4" t="n"/>
      <c r="C19" s="4" t="n"/>
      <c r="D19" s="5" t="n"/>
      <c r="E19" s="4" t="n"/>
      <c r="F19" s="4" t="n"/>
      <c r="G19" s="4">
        <f>IF(E19="","",IF(E19&gt;=F19,"Aman","Restock!"))</f>
        <v/>
      </c>
      <c r="H19" s="4" t="n"/>
      <c r="I19" s="4" t="n"/>
      <c r="J19" s="4" t="n"/>
      <c r="K19" s="12" t="n"/>
      <c r="L19" s="4" t="n"/>
    </row>
    <row r="20">
      <c r="A20" s="2" t="n">
        <v>18</v>
      </c>
      <c r="B20" s="4" t="n"/>
      <c r="C20" s="4" t="n"/>
      <c r="D20" s="5" t="n"/>
      <c r="E20" s="4" t="n"/>
      <c r="F20" s="4" t="n"/>
      <c r="G20" s="4">
        <f>IF(E20="","",IF(E20&gt;=F20,"Aman","Restock!"))</f>
        <v/>
      </c>
      <c r="H20" s="4" t="n"/>
      <c r="I20" s="4" t="n"/>
      <c r="J20" s="4" t="n"/>
      <c r="K20" s="12" t="n"/>
      <c r="L20" s="4" t="n"/>
    </row>
    <row r="21">
      <c r="A21" s="2" t="n">
        <v>19</v>
      </c>
      <c r="B21" s="4" t="n"/>
      <c r="C21" s="4" t="n"/>
      <c r="D21" s="5" t="n"/>
      <c r="E21" s="4" t="n"/>
      <c r="F21" s="4" t="n"/>
      <c r="G21" s="4">
        <f>IF(E21="","",IF(E21&gt;=F21,"Aman","Restock!"))</f>
        <v/>
      </c>
      <c r="H21" s="4" t="n"/>
      <c r="I21" s="4" t="n"/>
      <c r="J21" s="4" t="n"/>
      <c r="K21" s="12" t="n"/>
      <c r="L21" s="4" t="n"/>
    </row>
    <row r="22">
      <c r="A22" s="2" t="n">
        <v>20</v>
      </c>
      <c r="B22" s="4" t="n"/>
      <c r="C22" s="4" t="n"/>
      <c r="D22" s="5" t="n"/>
      <c r="E22" s="4" t="n"/>
      <c r="F22" s="4" t="n"/>
      <c r="G22" s="4">
        <f>IF(E22="","",IF(E22&gt;=F22,"Aman","Restock!"))</f>
        <v/>
      </c>
      <c r="H22" s="4" t="n"/>
      <c r="I22" s="4" t="n"/>
      <c r="J22" s="4" t="n"/>
      <c r="K22" s="12" t="n"/>
      <c r="L22" s="4" t="n"/>
    </row>
    <row r="23">
      <c r="A23" s="2" t="n">
        <v>21</v>
      </c>
      <c r="B23" s="4" t="n"/>
      <c r="C23" s="4" t="n"/>
      <c r="D23" s="5" t="n"/>
      <c r="E23" s="4" t="n"/>
      <c r="F23" s="4" t="n"/>
      <c r="G23" s="4">
        <f>IF(E23="","",IF(E23&gt;=F23,"Aman","Restock!"))</f>
        <v/>
      </c>
      <c r="H23" s="4" t="n"/>
      <c r="I23" s="4" t="n"/>
      <c r="J23" s="4" t="n"/>
      <c r="K23" s="12" t="n"/>
      <c r="L23" s="4" t="n"/>
    </row>
    <row r="24">
      <c r="A24" s="2" t="n">
        <v>22</v>
      </c>
      <c r="B24" s="4" t="n"/>
      <c r="C24" s="4" t="n"/>
      <c r="D24" s="5" t="n"/>
      <c r="E24" s="4" t="n"/>
      <c r="F24" s="4" t="n"/>
      <c r="G24" s="4">
        <f>IF(E24="","",IF(E24&gt;=F24,"Aman","Restock!"))</f>
        <v/>
      </c>
      <c r="H24" s="4" t="n"/>
      <c r="I24" s="4" t="n"/>
      <c r="J24" s="4" t="n"/>
      <c r="K24" s="12" t="n"/>
      <c r="L24" s="4" t="n"/>
    </row>
    <row r="25">
      <c r="A25" s="2" t="n">
        <v>23</v>
      </c>
      <c r="B25" s="4" t="n"/>
      <c r="C25" s="4" t="n"/>
      <c r="D25" s="5" t="n"/>
      <c r="E25" s="4" t="n"/>
      <c r="F25" s="4" t="n"/>
      <c r="G25" s="4">
        <f>IF(E25="","",IF(E25&gt;=F25,"Aman","Restock!"))</f>
        <v/>
      </c>
      <c r="H25" s="4" t="n"/>
      <c r="I25" s="4" t="n"/>
      <c r="J25" s="4" t="n"/>
      <c r="K25" s="12" t="n"/>
      <c r="L25" s="4" t="n"/>
    </row>
    <row r="26">
      <c r="A26" s="2" t="n">
        <v>24</v>
      </c>
      <c r="B26" s="4" t="n"/>
      <c r="C26" s="4" t="n"/>
      <c r="D26" s="5" t="n"/>
      <c r="E26" s="4" t="n"/>
      <c r="F26" s="4" t="n"/>
      <c r="G26" s="4">
        <f>IF(E26="","",IF(E26&gt;=F26,"Aman","Restock!"))</f>
        <v/>
      </c>
      <c r="H26" s="4" t="n"/>
      <c r="I26" s="4" t="n"/>
      <c r="J26" s="4" t="n"/>
      <c r="K26" s="12" t="n"/>
      <c r="L26" s="4" t="n"/>
    </row>
    <row r="27">
      <c r="A27" s="2" t="n">
        <v>25</v>
      </c>
      <c r="B27" s="4" t="n"/>
      <c r="C27" s="4" t="n"/>
      <c r="D27" s="5" t="n"/>
      <c r="E27" s="4" t="n"/>
      <c r="F27" s="4" t="n"/>
      <c r="G27" s="4">
        <f>IF(E27="","",IF(E27&gt;=F27,"Aman","Restock!"))</f>
        <v/>
      </c>
      <c r="H27" s="4" t="n"/>
      <c r="I27" s="4" t="n"/>
      <c r="J27" s="4" t="n"/>
      <c r="K27" s="12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12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12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12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12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12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12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12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12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12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12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12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12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12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12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12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12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12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12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12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12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12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12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12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12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12" t="n"/>
      <c r="L52" s="4" t="n"/>
    </row>
  </sheetData>
  <mergeCells count="3">
    <mergeCell ref="I1:L1"/>
    <mergeCell ref="A1:F1"/>
    <mergeCell ref="N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3" t="inlineStr">
        <is>
          <t>RINGKASAN OPERASIONAL HARIAN</t>
        </is>
      </c>
    </row>
    <row r="3">
      <c r="A3" s="9" t="inlineStr">
        <is>
          <t>Total Pendapatan</t>
        </is>
      </c>
      <c r="B3" s="14">
        <f>'Pesanan Harian'!G53</f>
        <v/>
      </c>
      <c r="D3" s="9" t="inlineStr">
        <is>
          <t>Total Porsi Terjual</t>
        </is>
      </c>
      <c r="E3" s="10">
        <f>SUM('Pesanan Harian'!E2:E51)</f>
        <v/>
      </c>
    </row>
    <row r="4">
      <c r="A4" s="9" t="inlineStr">
        <is>
          <t>Total Pesanan</t>
        </is>
      </c>
      <c r="B4" s="9">
        <f>'Pesanan Harian'!G54</f>
        <v/>
      </c>
      <c r="D4" s="9" t="inlineStr">
        <is>
          <t>Total HPP (estimasi)</t>
        </is>
      </c>
      <c r="E4" s="15">
        <f>SUM('HPP per Menu'!P3:P17)</f>
        <v/>
      </c>
    </row>
    <row r="5">
      <c r="A5" s="9" t="inlineStr">
        <is>
          <t>Pesanan Lunas</t>
        </is>
      </c>
      <c r="B5" s="9">
        <f>'Pesanan Harian'!G55</f>
        <v/>
      </c>
      <c r="D5" s="9" t="inlineStr">
        <is>
          <t>Laba Kotor (estimasi)</t>
        </is>
      </c>
      <c r="E5" s="16">
        <f>B3-E4</f>
        <v/>
      </c>
    </row>
    <row r="6">
      <c r="A6" s="9" t="inlineStr">
        <is>
          <t>Pesanan Belum Bayar</t>
        </is>
      </c>
      <c r="B6" s="9">
        <f>'Pesanan Harian'!G56</f>
        <v/>
      </c>
      <c r="D6" s="9" t="inlineStr">
        <is>
          <t>Margin Kotor (%)</t>
        </is>
      </c>
      <c r="E6" s="17">
        <f>IF(B3=0,"",E5/B3)</f>
        <v/>
      </c>
    </row>
    <row r="7">
      <c r="A7" s="9" t="inlineStr">
        <is>
          <t>% Lunas</t>
        </is>
      </c>
      <c r="B7" s="17">
        <f>IF(B4=0,"",B5/B4)</f>
        <v/>
      </c>
    </row>
    <row r="8">
      <c r="A8" s="9" t="inlineStr">
        <is>
          <t>Rata-rata Nilai Pesanan</t>
        </is>
      </c>
      <c r="B8" s="15">
        <f>IF(B4=0,"",B3/B4)</f>
        <v/>
      </c>
      <c r="D8" s="9" t="inlineStr">
        <is>
          <t>Total Pengeluaran Operasional</t>
        </is>
      </c>
      <c r="E8" s="15">
        <f>Pengeluaran!E54</f>
        <v/>
      </c>
    </row>
    <row r="9">
      <c r="D9" s="9" t="inlineStr">
        <is>
          <t>Laba Bersih (estimasi)</t>
        </is>
      </c>
      <c r="E9" s="14">
        <f>E5-E8</f>
        <v/>
      </c>
    </row>
    <row r="10">
      <c r="D10" s="9" t="inlineStr">
        <is>
          <t>Margin Bersih (%)</t>
        </is>
      </c>
      <c r="E10" s="17">
        <f>IF(B3=0,"",E9/B3)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8" customWidth="1" min="4" max="4"/>
    <col width="18" customWidth="1" min="5" max="5"/>
    <col width="22" customWidth="1" min="6" max="6"/>
  </cols>
  <sheetData>
    <row r="1">
      <c r="A1" s="18" t="inlineStr">
        <is>
          <t>PENGELUARAN HARIAN</t>
        </is>
      </c>
    </row>
    <row r="2">
      <c r="A2" s="1" t="inlineStr">
        <is>
          <t>No</t>
        </is>
      </c>
      <c r="B2" s="1" t="inlineStr">
        <is>
          <t>Tanggal</t>
        </is>
      </c>
      <c r="C2" s="1" t="inlineStr">
        <is>
          <t>Kategori</t>
        </is>
      </c>
      <c r="D2" s="1" t="inlineStr">
        <is>
          <t>Deskripsi</t>
        </is>
      </c>
      <c r="E2" s="1" t="inlineStr">
        <is>
          <t>Jumlah (Rp)</t>
        </is>
      </c>
      <c r="F2" s="1" t="inlineStr">
        <is>
          <t>Keterangan</t>
        </is>
      </c>
    </row>
    <row r="3">
      <c r="A3" s="2" t="n">
        <v>1</v>
      </c>
      <c r="B3" s="3" t="n"/>
      <c r="C3" s="4" t="n"/>
      <c r="D3" s="4" t="n"/>
      <c r="E3" s="5" t="n"/>
      <c r="F3" s="4" t="n"/>
    </row>
    <row r="4">
      <c r="A4" s="2" t="n">
        <v>2</v>
      </c>
      <c r="B4" s="3" t="n"/>
      <c r="C4" s="4" t="n"/>
      <c r="D4" s="4" t="n"/>
      <c r="E4" s="5" t="n"/>
      <c r="F4" s="4" t="n"/>
    </row>
    <row r="5">
      <c r="A5" s="2" t="n">
        <v>3</v>
      </c>
      <c r="B5" s="3" t="n"/>
      <c r="C5" s="4" t="n"/>
      <c r="D5" s="4" t="n"/>
      <c r="E5" s="5" t="n"/>
      <c r="F5" s="4" t="n"/>
    </row>
    <row r="6">
      <c r="A6" s="2" t="n">
        <v>4</v>
      </c>
      <c r="B6" s="3" t="n"/>
      <c r="C6" s="4" t="n"/>
      <c r="D6" s="4" t="n"/>
      <c r="E6" s="5" t="n"/>
      <c r="F6" s="4" t="n"/>
    </row>
    <row r="7">
      <c r="A7" s="2" t="n">
        <v>5</v>
      </c>
      <c r="B7" s="3" t="n"/>
      <c r="C7" s="4" t="n"/>
      <c r="D7" s="4" t="n"/>
      <c r="E7" s="5" t="n"/>
      <c r="F7" s="4" t="n"/>
    </row>
    <row r="8">
      <c r="A8" s="2" t="n">
        <v>6</v>
      </c>
      <c r="B8" s="3" t="n"/>
      <c r="C8" s="4" t="n"/>
      <c r="D8" s="4" t="n"/>
      <c r="E8" s="5" t="n"/>
      <c r="F8" s="4" t="n"/>
    </row>
    <row r="9">
      <c r="A9" s="2" t="n">
        <v>7</v>
      </c>
      <c r="B9" s="3" t="n"/>
      <c r="C9" s="4" t="n"/>
      <c r="D9" s="4" t="n"/>
      <c r="E9" s="5" t="n"/>
      <c r="F9" s="4" t="n"/>
    </row>
    <row r="10">
      <c r="A10" s="2" t="n">
        <v>8</v>
      </c>
      <c r="B10" s="3" t="n"/>
      <c r="C10" s="4" t="n"/>
      <c r="D10" s="4" t="n"/>
      <c r="E10" s="5" t="n"/>
      <c r="F10" s="4" t="n"/>
    </row>
    <row r="11">
      <c r="A11" s="2" t="n">
        <v>9</v>
      </c>
      <c r="B11" s="3" t="n"/>
      <c r="C11" s="4" t="n"/>
      <c r="D11" s="4" t="n"/>
      <c r="E11" s="5" t="n"/>
      <c r="F11" s="4" t="n"/>
    </row>
    <row r="12">
      <c r="A12" s="2" t="n">
        <v>10</v>
      </c>
      <c r="B12" s="3" t="n"/>
      <c r="C12" s="4" t="n"/>
      <c r="D12" s="4" t="n"/>
      <c r="E12" s="5" t="n"/>
      <c r="F12" s="4" t="n"/>
    </row>
    <row r="13">
      <c r="A13" s="2" t="n">
        <v>11</v>
      </c>
      <c r="B13" s="3" t="n"/>
      <c r="C13" s="4" t="n"/>
      <c r="D13" s="4" t="n"/>
      <c r="E13" s="5" t="n"/>
      <c r="F13" s="4" t="n"/>
    </row>
    <row r="14">
      <c r="A14" s="2" t="n">
        <v>12</v>
      </c>
      <c r="B14" s="3" t="n"/>
      <c r="C14" s="4" t="n"/>
      <c r="D14" s="4" t="n"/>
      <c r="E14" s="5" t="n"/>
      <c r="F14" s="4" t="n"/>
    </row>
    <row r="15">
      <c r="A15" s="2" t="n">
        <v>13</v>
      </c>
      <c r="B15" s="3" t="n"/>
      <c r="C15" s="4" t="n"/>
      <c r="D15" s="4" t="n"/>
      <c r="E15" s="5" t="n"/>
      <c r="F15" s="4" t="n"/>
    </row>
    <row r="16">
      <c r="A16" s="2" t="n">
        <v>14</v>
      </c>
      <c r="B16" s="3" t="n"/>
      <c r="C16" s="4" t="n"/>
      <c r="D16" s="4" t="n"/>
      <c r="E16" s="5" t="n"/>
      <c r="F16" s="4" t="n"/>
    </row>
    <row r="17">
      <c r="A17" s="2" t="n">
        <v>15</v>
      </c>
      <c r="B17" s="3" t="n"/>
      <c r="C17" s="4" t="n"/>
      <c r="D17" s="4" t="n"/>
      <c r="E17" s="5" t="n"/>
      <c r="F17" s="4" t="n"/>
    </row>
    <row r="18">
      <c r="A18" s="2" t="n">
        <v>16</v>
      </c>
      <c r="B18" s="3" t="n"/>
      <c r="C18" s="4" t="n"/>
      <c r="D18" s="4" t="n"/>
      <c r="E18" s="5" t="n"/>
      <c r="F18" s="4" t="n"/>
    </row>
    <row r="19">
      <c r="A19" s="2" t="n">
        <v>17</v>
      </c>
      <c r="B19" s="3" t="n"/>
      <c r="C19" s="4" t="n"/>
      <c r="D19" s="4" t="n"/>
      <c r="E19" s="5" t="n"/>
      <c r="F19" s="4" t="n"/>
    </row>
    <row r="20">
      <c r="A20" s="2" t="n">
        <v>18</v>
      </c>
      <c r="B20" s="3" t="n"/>
      <c r="C20" s="4" t="n"/>
      <c r="D20" s="4" t="n"/>
      <c r="E20" s="5" t="n"/>
      <c r="F20" s="4" t="n"/>
    </row>
    <row r="21">
      <c r="A21" s="2" t="n">
        <v>19</v>
      </c>
      <c r="B21" s="3" t="n"/>
      <c r="C21" s="4" t="n"/>
      <c r="D21" s="4" t="n"/>
      <c r="E21" s="5" t="n"/>
      <c r="F21" s="4" t="n"/>
    </row>
    <row r="22">
      <c r="A22" s="2" t="n">
        <v>20</v>
      </c>
      <c r="B22" s="3" t="n"/>
      <c r="C22" s="4" t="n"/>
      <c r="D22" s="4" t="n"/>
      <c r="E22" s="5" t="n"/>
      <c r="F22" s="4" t="n"/>
    </row>
    <row r="23">
      <c r="A23" s="2" t="n">
        <v>21</v>
      </c>
      <c r="B23" s="3" t="n"/>
      <c r="C23" s="4" t="n"/>
      <c r="D23" s="4" t="n"/>
      <c r="E23" s="5" t="n"/>
      <c r="F23" s="4" t="n"/>
    </row>
    <row r="24">
      <c r="A24" s="2" t="n">
        <v>22</v>
      </c>
      <c r="B24" s="3" t="n"/>
      <c r="C24" s="4" t="n"/>
      <c r="D24" s="4" t="n"/>
      <c r="E24" s="5" t="n"/>
      <c r="F24" s="4" t="n"/>
    </row>
    <row r="25">
      <c r="A25" s="2" t="n">
        <v>23</v>
      </c>
      <c r="B25" s="3" t="n"/>
      <c r="C25" s="4" t="n"/>
      <c r="D25" s="4" t="n"/>
      <c r="E25" s="5" t="n"/>
      <c r="F25" s="4" t="n"/>
    </row>
    <row r="26">
      <c r="A26" s="2" t="n">
        <v>24</v>
      </c>
      <c r="B26" s="3" t="n"/>
      <c r="C26" s="4" t="n"/>
      <c r="D26" s="4" t="n"/>
      <c r="E26" s="5" t="n"/>
      <c r="F26" s="4" t="n"/>
    </row>
    <row r="27">
      <c r="A27" s="2" t="n">
        <v>25</v>
      </c>
      <c r="B27" s="3" t="n"/>
      <c r="C27" s="4" t="n"/>
      <c r="D27" s="4" t="n"/>
      <c r="E27" s="5" t="n"/>
      <c r="F27" s="4" t="n"/>
    </row>
    <row r="28">
      <c r="A28" s="2" t="n">
        <v>26</v>
      </c>
      <c r="B28" s="3" t="n"/>
      <c r="C28" s="4" t="n"/>
      <c r="D28" s="4" t="n"/>
      <c r="E28" s="5" t="n"/>
      <c r="F28" s="4" t="n"/>
    </row>
    <row r="29">
      <c r="A29" s="2" t="n">
        <v>27</v>
      </c>
      <c r="B29" s="3" t="n"/>
      <c r="C29" s="4" t="n"/>
      <c r="D29" s="4" t="n"/>
      <c r="E29" s="5" t="n"/>
      <c r="F29" s="4" t="n"/>
    </row>
    <row r="30">
      <c r="A30" s="2" t="n">
        <v>28</v>
      </c>
      <c r="B30" s="3" t="n"/>
      <c r="C30" s="4" t="n"/>
      <c r="D30" s="4" t="n"/>
      <c r="E30" s="5" t="n"/>
      <c r="F30" s="4" t="n"/>
    </row>
    <row r="31">
      <c r="A31" s="2" t="n">
        <v>29</v>
      </c>
      <c r="B31" s="3" t="n"/>
      <c r="C31" s="4" t="n"/>
      <c r="D31" s="4" t="n"/>
      <c r="E31" s="5" t="n"/>
      <c r="F31" s="4" t="n"/>
    </row>
    <row r="32">
      <c r="A32" s="2" t="n">
        <v>30</v>
      </c>
      <c r="B32" s="3" t="n"/>
      <c r="C32" s="4" t="n"/>
      <c r="D32" s="4" t="n"/>
      <c r="E32" s="5" t="n"/>
      <c r="F32" s="4" t="n"/>
    </row>
    <row r="33">
      <c r="A33" s="2" t="n">
        <v>31</v>
      </c>
      <c r="B33" s="3" t="n"/>
      <c r="C33" s="4" t="n"/>
      <c r="D33" s="4" t="n"/>
      <c r="E33" s="5" t="n"/>
      <c r="F33" s="4" t="n"/>
    </row>
    <row r="34">
      <c r="A34" s="2" t="n">
        <v>32</v>
      </c>
      <c r="B34" s="3" t="n"/>
      <c r="C34" s="4" t="n"/>
      <c r="D34" s="4" t="n"/>
      <c r="E34" s="5" t="n"/>
      <c r="F34" s="4" t="n"/>
    </row>
    <row r="35">
      <c r="A35" s="2" t="n">
        <v>33</v>
      </c>
      <c r="B35" s="3" t="n"/>
      <c r="C35" s="4" t="n"/>
      <c r="D35" s="4" t="n"/>
      <c r="E35" s="5" t="n"/>
      <c r="F35" s="4" t="n"/>
    </row>
    <row r="36">
      <c r="A36" s="2" t="n">
        <v>34</v>
      </c>
      <c r="B36" s="3" t="n"/>
      <c r="C36" s="4" t="n"/>
      <c r="D36" s="4" t="n"/>
      <c r="E36" s="5" t="n"/>
      <c r="F36" s="4" t="n"/>
    </row>
    <row r="37">
      <c r="A37" s="2" t="n">
        <v>35</v>
      </c>
      <c r="B37" s="3" t="n"/>
      <c r="C37" s="4" t="n"/>
      <c r="D37" s="4" t="n"/>
      <c r="E37" s="5" t="n"/>
      <c r="F37" s="4" t="n"/>
    </row>
    <row r="38">
      <c r="A38" s="2" t="n">
        <v>36</v>
      </c>
      <c r="B38" s="3" t="n"/>
      <c r="C38" s="4" t="n"/>
      <c r="D38" s="4" t="n"/>
      <c r="E38" s="5" t="n"/>
      <c r="F38" s="4" t="n"/>
    </row>
    <row r="39">
      <c r="A39" s="2" t="n">
        <v>37</v>
      </c>
      <c r="B39" s="3" t="n"/>
      <c r="C39" s="4" t="n"/>
      <c r="D39" s="4" t="n"/>
      <c r="E39" s="5" t="n"/>
      <c r="F39" s="4" t="n"/>
    </row>
    <row r="40">
      <c r="A40" s="2" t="n">
        <v>38</v>
      </c>
      <c r="B40" s="3" t="n"/>
      <c r="C40" s="4" t="n"/>
      <c r="D40" s="4" t="n"/>
      <c r="E40" s="5" t="n"/>
      <c r="F40" s="4" t="n"/>
    </row>
    <row r="41">
      <c r="A41" s="2" t="n">
        <v>39</v>
      </c>
      <c r="B41" s="3" t="n"/>
      <c r="C41" s="4" t="n"/>
      <c r="D41" s="4" t="n"/>
      <c r="E41" s="5" t="n"/>
      <c r="F41" s="4" t="n"/>
    </row>
    <row r="42">
      <c r="A42" s="2" t="n">
        <v>40</v>
      </c>
      <c r="B42" s="3" t="n"/>
      <c r="C42" s="4" t="n"/>
      <c r="D42" s="4" t="n"/>
      <c r="E42" s="5" t="n"/>
      <c r="F42" s="4" t="n"/>
    </row>
    <row r="43">
      <c r="A43" s="2" t="n">
        <v>41</v>
      </c>
      <c r="B43" s="3" t="n"/>
      <c r="C43" s="4" t="n"/>
      <c r="D43" s="4" t="n"/>
      <c r="E43" s="5" t="n"/>
      <c r="F43" s="4" t="n"/>
    </row>
    <row r="44">
      <c r="A44" s="2" t="n">
        <v>42</v>
      </c>
      <c r="B44" s="3" t="n"/>
      <c r="C44" s="4" t="n"/>
      <c r="D44" s="4" t="n"/>
      <c r="E44" s="5" t="n"/>
      <c r="F44" s="4" t="n"/>
    </row>
    <row r="45">
      <c r="A45" s="2" t="n">
        <v>43</v>
      </c>
      <c r="B45" s="3" t="n"/>
      <c r="C45" s="4" t="n"/>
      <c r="D45" s="4" t="n"/>
      <c r="E45" s="5" t="n"/>
      <c r="F45" s="4" t="n"/>
    </row>
    <row r="46">
      <c r="A46" s="2" t="n">
        <v>44</v>
      </c>
      <c r="B46" s="3" t="n"/>
      <c r="C46" s="4" t="n"/>
      <c r="D46" s="4" t="n"/>
      <c r="E46" s="5" t="n"/>
      <c r="F46" s="4" t="n"/>
    </row>
    <row r="47">
      <c r="A47" s="2" t="n">
        <v>45</v>
      </c>
      <c r="B47" s="3" t="n"/>
      <c r="C47" s="4" t="n"/>
      <c r="D47" s="4" t="n"/>
      <c r="E47" s="5" t="n"/>
      <c r="F47" s="4" t="n"/>
    </row>
    <row r="48">
      <c r="A48" s="2" t="n">
        <v>46</v>
      </c>
      <c r="B48" s="3" t="n"/>
      <c r="C48" s="4" t="n"/>
      <c r="D48" s="4" t="n"/>
      <c r="E48" s="5" t="n"/>
      <c r="F48" s="4" t="n"/>
    </row>
    <row r="49">
      <c r="A49" s="2" t="n">
        <v>47</v>
      </c>
      <c r="B49" s="3" t="n"/>
      <c r="C49" s="4" t="n"/>
      <c r="D49" s="4" t="n"/>
      <c r="E49" s="5" t="n"/>
      <c r="F49" s="4" t="n"/>
    </row>
    <row r="50">
      <c r="A50" s="2" t="n">
        <v>48</v>
      </c>
      <c r="B50" s="3" t="n"/>
      <c r="C50" s="4" t="n"/>
      <c r="D50" s="4" t="n"/>
      <c r="E50" s="5" t="n"/>
      <c r="F50" s="4" t="n"/>
    </row>
    <row r="51">
      <c r="A51" s="2" t="n">
        <v>49</v>
      </c>
      <c r="B51" s="3" t="n"/>
      <c r="C51" s="4" t="n"/>
      <c r="D51" s="4" t="n"/>
      <c r="E51" s="5" t="n"/>
      <c r="F51" s="4" t="n"/>
    </row>
    <row r="52">
      <c r="A52" s="2" t="n">
        <v>50</v>
      </c>
      <c r="B52" s="3" t="n"/>
      <c r="C52" s="4" t="n"/>
      <c r="D52" s="4" t="n"/>
      <c r="E52" s="5" t="n"/>
      <c r="F52" s="4" t="n"/>
    </row>
    <row r="54">
      <c r="A54" s="6" t="inlineStr">
        <is>
          <t>TOTAL PENGELUARAN</t>
        </is>
      </c>
      <c r="E54" s="7">
        <f>SUM(E3:E52)</f>
        <v/>
      </c>
    </row>
  </sheetData>
  <mergeCells count="2">
    <mergeCell ref="A1:F1"/>
    <mergeCell ref="A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2026-09-15T17:11:37Z</dcterms:created>
  <dcterms:modified xsi:type="dcterms:W3CDTF">2026-09-15T17:11:37Z</dcterms:modified>
</cp:coreProperties>
</file>